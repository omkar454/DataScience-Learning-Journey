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kar Raut\Desktop\DataSceince\Statistics\DMBI_stats\"/>
    </mc:Choice>
  </mc:AlternateContent>
  <xr:revisionPtr revIDLastSave="0" documentId="13_ncr:1_{132B8E68-A7AF-43AE-A827-A10531F9BF0F}" xr6:coauthVersionLast="47" xr6:coauthVersionMax="47" xr10:uidLastSave="{00000000-0000-0000-0000-000000000000}"/>
  <bookViews>
    <workbookView xWindow="-108" yWindow="-108" windowWidth="23256" windowHeight="12456" activeTab="3" xr2:uid="{BA1A5368-9E9D-44A9-9D94-A24D979526B1}"/>
  </bookViews>
  <sheets>
    <sheet name="Sheet1" sheetId="1" r:id="rId1"/>
    <sheet name="Sheet2" sheetId="3" r:id="rId2"/>
    <sheet name="Sheet3" sheetId="4" r:id="rId3"/>
    <sheet name="Data" sheetId="2" r:id="rId4"/>
  </sheets>
  <definedNames>
    <definedName name="_xlchart.v1.0" hidden="1">Data!$A$1</definedName>
    <definedName name="_xlchart.v1.1" hidden="1">Data!$A$2:$A$29</definedName>
    <definedName name="_xlchart.v1.2" hidden="1">Data!$A$1</definedName>
    <definedName name="_xlchart.v1.3" hidden="1">Data!$A$2:$A$29</definedName>
    <definedName name="ExternalData_1" localSheetId="3" hidden="1">Data!$A$1:$A$29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2" l="1" a="1"/>
  <c r="J2" i="2" s="1"/>
  <c r="I5" i="2"/>
  <c r="I4" i="2"/>
  <c r="I3" i="2"/>
  <c r="I2" i="2"/>
  <c r="F4" i="2"/>
  <c r="F5" i="2"/>
  <c r="F6" i="2"/>
  <c r="F7" i="2"/>
  <c r="F8" i="2"/>
  <c r="F9" i="2"/>
  <c r="F10" i="2"/>
  <c r="F11" i="2"/>
  <c r="J5" i="2" l="1"/>
  <c r="J8" i="2"/>
  <c r="J4" i="2"/>
  <c r="J7" i="2"/>
  <c r="J3" i="2"/>
  <c r="J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F9188D-DD62-492B-B6DC-E1F86D4EC6BF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<sst xmlns="http://schemas.openxmlformats.org/spreadsheetml/2006/main" count="24" uniqueCount="21">
  <si>
    <t>Data</t>
  </si>
  <si>
    <t>Bin</t>
  </si>
  <si>
    <t>More</t>
  </si>
  <si>
    <t>Frequency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</si>
  <si>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</si>
  <si>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</si>
  <si>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</si>
  <si>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</si>
  <si>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</si>
  <si>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</si>
  <si>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</si>
  <si>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</si>
  <si>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</si>
  <si>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</si>
  <si>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</si>
  <si>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</si>
  <si>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</si>
  <si>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</si>
  <si>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Percentile</t>
  </si>
  <si>
    <t>Value</t>
  </si>
  <si>
    <t>Frequency-Bin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</si>
</sst>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indent="15"/>
    </xf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Sheet3!$A$2:$A$7</c:f>
              <c:strCache>
                <c:ptCount val="6"/>
                <c:pt idx="0">
                  <c:v>13</c:v>
                </c:pt>
                <c:pt idx="1">
                  <c:v>24.4</c:v>
                </c:pt>
                <c:pt idx="2">
                  <c:v>35.8</c:v>
                </c:pt>
                <c:pt idx="3">
                  <c:v>47.2</c:v>
                </c:pt>
                <c:pt idx="4">
                  <c:v>58.6</c:v>
                </c:pt>
                <c:pt idx="5">
                  <c:v>More</c:v>
                </c:pt>
              </c:strCache>
            </c:strRef>
          </c:cat>
          <c:val>
            <c:numRef>
              <c:f>Sheet3!$B$2:$B$7</c:f>
              <c:numCache>
                <c:formatCode>General</c:formatCode>
                <c:ptCount val="6"/>
                <c:pt idx="0">
                  <c:v>1</c:v>
                </c:pt>
                <c:pt idx="1">
                  <c:v>9</c:v>
                </c:pt>
                <c:pt idx="2">
                  <c:v>11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3-4981-B15F-AF61F4104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4954864"/>
        <c:axId val="534955344"/>
      </c:barChart>
      <c:catAx>
        <c:axId val="534954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4955344"/>
        <c:crosses val="autoZero"/>
        <c:auto val="1"/>
        <c:lblAlgn val="ctr"/>
        <c:lblOffset val="100"/>
        <c:noMultiLvlLbl val="0"/>
      </c:catAx>
      <c:valAx>
        <c:axId val="5349553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49548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B98A20CE-5E63-477A-807E-8E0A7E645D58}">
          <cx:tx>
            <cx:txData>
              <cx:f>_xlchart.v1.0</cx:f>
              <cx:v>Data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boxWhisker" uniqueId="{C4DACF19-2233-488C-A63D-89BCCAD89914}">
          <cx:tx>
            <cx:txData>
              <cx:f>_xlchart.v1.2</cx:f>
              <cx:v>Data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251460</xdr:colOff>
      <xdr:row>0</xdr:row>
      <xdr:rowOff>175260</xdr:rowOff>
    </xdr:from>
    <xdr:to>
      <xdr:col>9</xdr:col>
      <xdr:colOff>251460</xdr:colOff>
      <xdr:row>10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2149E2-372D-E832-1C1C-9A6CD2E7DC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</xdr:colOff>
      <xdr:row>7</xdr:row>
      <xdr:rowOff>102870</xdr:rowOff>
    </xdr:from>
    <xdr:to>
      <xdr:col>15</xdr:col>
      <xdr:colOff>350520</xdr:colOff>
      <xdr:row>22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C645CEE-7735-ED19-0E5B-DD1DEC0076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13906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45720</xdr:colOff>
      <xdr:row>7</xdr:row>
      <xdr:rowOff>102870</xdr:rowOff>
    </xdr:from>
    <xdr:to>
      <xdr:col>15</xdr:col>
      <xdr:colOff>350520</xdr:colOff>
      <xdr:row>22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66371A70-0CE5-BE3C-DE16-39E04C5651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13906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104D89-25B9-4E59-BC3E-B15C87D44A48}" autoFormatId="16" applyNumberFormats="0" applyBorderFormats="0" applyFontFormats="0" applyPatternFormats="0" applyAlignmentFormats="0" applyWidthHeightFormats="0">
  <queryTableRefresh nextId="3" unboundColumnsRight="1">
    <queryTableFields count="2">
      <queryTableField id="1" name="Data" tableColumnId="1"/>
      <queryTableField id="2" dataBound="0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730710-9C82-4B80-B310-86B13B3FE90E}" name="Data" displayName="Data" ref="A1:B29" tableType="queryTable" totalsRowShown="0">
  <autoFilter ref="A1:B29" xr:uid="{AB730710-9C82-4B80-B310-86B13B3FE90E}"/>
  <sortState xmlns:xlrd2="http://schemas.microsoft.com/office/spreadsheetml/2017/richdata2" ref="A2:A28">
    <sortCondition ref="A1:A28"/>
  </sortState>
  <tableColumns count="2">
    <tableColumn id="1" xr3:uid="{F0841221-C826-4A8B-B807-4BFE246B7934}" uniqueName="1" name="Data" queryTableFieldId="1"/>
    <tableColumn id="2" xr3:uid="{5F4F234E-EDB3-45AC-9FEE-3C5264357444}" uniqueName="2" name="Frequency-Bin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7F1BD-DCA8-4D67-AA7F-488DF28E0FAD}">
  <dimension ref="A2"/>
  <sheetViews>
    <sheetView workbookViewId="0"/>
  </sheetViews>
  <sheetFormatPr defaultRowHeight="14.4" x14ac:dyDescent="0.3"/>
  <cols>
    <col min="1" max="1" width="23.5546875" bestFit="1" customWidth="1"/>
  </cols>
  <sheetData>
    <row r="2" spans="1:1" ht="15.6" x14ac:dyDescent="0.3">
      <c r="A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3DFD3-757A-4D80-9B74-E04EB590CB9F}">
  <dimension ref="A1:B7"/>
  <sheetViews>
    <sheetView workbookViewId="0">
      <selection sqref="A1:A1048576"/>
    </sheetView>
  </sheetViews>
  <sheetFormatPr defaultRowHeight="14.4" x14ac:dyDescent="0.3"/>
  <sheetData>
    <row r="1" spans="1:2" x14ac:dyDescent="0.3">
      <c r="A1" t="s">
        <v>1</v>
      </c>
      <c r="B1" t="s">
        <v>3</v>
      </c>
    </row>
    <row r="2" spans="1:2" x14ac:dyDescent="0.3">
      <c r="A2">
        <v>13</v>
      </c>
      <c r="B2">
        <v>1</v>
      </c>
    </row>
    <row r="3" spans="1:2" x14ac:dyDescent="0.3">
      <c r="A3">
        <v>24.4</v>
      </c>
      <c r="B3">
        <v>9</v>
      </c>
    </row>
    <row r="4" spans="1:2" x14ac:dyDescent="0.3">
      <c r="A4">
        <v>35.799999999999997</v>
      </c>
      <c r="B4">
        <v>11</v>
      </c>
    </row>
    <row r="5" spans="1:2" x14ac:dyDescent="0.3">
      <c r="A5">
        <v>47.2</v>
      </c>
      <c r="B5">
        <v>4</v>
      </c>
    </row>
    <row r="6" spans="1:2" x14ac:dyDescent="0.3">
      <c r="A6">
        <v>58.6</v>
      </c>
      <c r="B6">
        <v>1</v>
      </c>
    </row>
    <row r="7" spans="1:2" x14ac:dyDescent="0.3">
      <c r="A7" t="s">
        <v>2</v>
      </c>
      <c r="B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43334-FD3B-4986-8722-F479CEB92DD5}">
  <dimension ref="A1:B7"/>
  <sheetViews>
    <sheetView workbookViewId="0">
      <selection sqref="A1:B7"/>
    </sheetView>
  </sheetViews>
  <sheetFormatPr defaultRowHeight="14.4" x14ac:dyDescent="0.3"/>
  <sheetData>
    <row r="1" spans="1:2" x14ac:dyDescent="0.3">
      <c r="A1" s="3" t="s">
        <v>1</v>
      </c>
      <c r="B1" s="3" t="s">
        <v>3</v>
      </c>
    </row>
    <row r="2" spans="1:2" x14ac:dyDescent="0.3">
      <c r="A2">
        <v>13</v>
      </c>
      <c r="B2">
        <v>1</v>
      </c>
    </row>
    <row r="3" spans="1:2" x14ac:dyDescent="0.3">
      <c r="A3">
        <v>24.4</v>
      </c>
      <c r="B3">
        <v>9</v>
      </c>
    </row>
    <row r="4" spans="1:2" x14ac:dyDescent="0.3">
      <c r="A4">
        <v>35.799999999999997</v>
      </c>
      <c r="B4">
        <v>11</v>
      </c>
    </row>
    <row r="5" spans="1:2" x14ac:dyDescent="0.3">
      <c r="A5">
        <v>47.2</v>
      </c>
      <c r="B5">
        <v>4</v>
      </c>
    </row>
    <row r="6" spans="1:2" x14ac:dyDescent="0.3">
      <c r="A6">
        <v>58.6</v>
      </c>
      <c r="B6">
        <v>1</v>
      </c>
    </row>
    <row r="7" spans="1:2" ht="15" thickBot="1" x14ac:dyDescent="0.35">
      <c r="A7" s="2" t="s">
        <v>2</v>
      </c>
      <c r="B7" s="2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51467-0F57-44BB-A190-7A148A85084E}">
  <dimension ref="A1:J28"/>
  <sheetViews>
    <sheetView tabSelected="1" workbookViewId="0">
      <selection activeCell="Q4" sqref="Q4"/>
    </sheetView>
  </sheetViews>
  <sheetFormatPr defaultRowHeight="14.4" x14ac:dyDescent="0.3"/>
  <cols>
    <col min="1" max="1" width="7.109375" bestFit="1" customWidth="1"/>
  </cols>
  <sheetData>
    <row r="1" spans="1:10" ht="15" thickBot="1" x14ac:dyDescent="0.35">
      <c r="A1" t="s">
        <v>0</v>
      </c>
      <c r="B1" t="s">
        <v>20</v>
      </c>
    </row>
    <row r="2" spans="1:10" x14ac:dyDescent="0.3">
      <c r="A2">
        <v>13</v>
      </c>
      <c r="B2">
        <v>10</v>
      </c>
      <c r="C2" s="4" t="s">
        <v>4</v>
      </c>
      <c r="D2" s="4"/>
      <c r="I2">
        <f>FREQUENCY(A2:A29, B2:B8)</f>
        <v>0</v>
      </c>
      <c r="J2">
        <f t="array" ref="J2:J8">FREQUENCY(A2:A28, B2:B8)</f>
        <v>0</v>
      </c>
    </row>
    <row r="3" spans="1:10" x14ac:dyDescent="0.3">
      <c r="A3">
        <v>15</v>
      </c>
      <c r="B3">
        <v>20</v>
      </c>
      <c r="F3" t="s">
        <v>19</v>
      </c>
      <c r="G3" t="s">
        <v>18</v>
      </c>
      <c r="I3">
        <f>FREQUENCY(A2:A29, B2:B8)</f>
        <v>0</v>
      </c>
      <c r="J3">
        <v>7</v>
      </c>
    </row>
    <row r="4" spans="1:10" x14ac:dyDescent="0.3">
      <c r="A4">
        <v>16</v>
      </c>
      <c r="B4">
        <v>30</v>
      </c>
      <c r="C4" t="s">
        <v>5</v>
      </c>
      <c r="D4">
        <v>29.962962962962962</v>
      </c>
      <c r="F4">
        <f>_xlfn.PERCENTILE.INC(A2:A29,0.1)</f>
        <v>16</v>
      </c>
      <c r="G4">
        <v>10</v>
      </c>
      <c r="I4">
        <f>FREQUENCY(A2:A28, B2:B8)</f>
        <v>0</v>
      </c>
      <c r="J4">
        <v>8</v>
      </c>
    </row>
    <row r="5" spans="1:10" x14ac:dyDescent="0.3">
      <c r="A5">
        <v>16</v>
      </c>
      <c r="B5">
        <v>40</v>
      </c>
      <c r="C5" t="s">
        <v>6</v>
      </c>
      <c r="D5">
        <v>2.4907129389778513</v>
      </c>
      <c r="F5">
        <f>_xlfn.PERCENTILE.INC(A2:A29,0.2)</f>
        <v>20</v>
      </c>
      <c r="G5">
        <v>20</v>
      </c>
      <c r="I5">
        <f>FREQUENCY(A2:A28, B2:B8)</f>
        <v>0</v>
      </c>
      <c r="J5">
        <v>8</v>
      </c>
    </row>
    <row r="6" spans="1:10" x14ac:dyDescent="0.3">
      <c r="A6">
        <v>19</v>
      </c>
      <c r="B6">
        <v>50</v>
      </c>
      <c r="C6" t="s">
        <v>7</v>
      </c>
      <c r="D6">
        <v>25</v>
      </c>
      <c r="F6">
        <f>_xlfn.PERCENTILE.INC(A2:A29,0.25)</f>
        <v>20.5</v>
      </c>
      <c r="G6">
        <v>25</v>
      </c>
      <c r="J6">
        <v>2</v>
      </c>
    </row>
    <row r="7" spans="1:10" x14ac:dyDescent="0.3">
      <c r="A7">
        <v>20</v>
      </c>
      <c r="B7">
        <v>60</v>
      </c>
      <c r="C7" t="s">
        <v>8</v>
      </c>
      <c r="D7">
        <v>25</v>
      </c>
      <c r="F7">
        <f>_xlfn.PERCENTILE.INC(A2:A29,0.5)</f>
        <v>25</v>
      </c>
      <c r="G7">
        <v>50</v>
      </c>
      <c r="J7">
        <v>1</v>
      </c>
    </row>
    <row r="8" spans="1:10" x14ac:dyDescent="0.3">
      <c r="A8">
        <v>20</v>
      </c>
      <c r="B8">
        <v>70</v>
      </c>
      <c r="C8" t="s">
        <v>9</v>
      </c>
      <c r="D8">
        <v>12.942124072136517</v>
      </c>
      <c r="F8">
        <f>_xlfn.PERCENTILE.INC(A2:A29,0.75)</f>
        <v>35</v>
      </c>
      <c r="G8">
        <v>75</v>
      </c>
      <c r="J8">
        <v>1</v>
      </c>
    </row>
    <row r="9" spans="1:10" x14ac:dyDescent="0.3">
      <c r="A9">
        <v>21</v>
      </c>
      <c r="C9" t="s">
        <v>10</v>
      </c>
      <c r="D9">
        <v>167.49857549857552</v>
      </c>
      <c r="F9">
        <f>_xlfn.PERCENTILE.INC(A2:A29,0.8)</f>
        <v>35.799999999999997</v>
      </c>
      <c r="G9">
        <v>80</v>
      </c>
    </row>
    <row r="10" spans="1:10" x14ac:dyDescent="0.3">
      <c r="A10">
        <v>22</v>
      </c>
      <c r="C10" t="s">
        <v>11</v>
      </c>
      <c r="D10">
        <v>2.1419977853407683</v>
      </c>
      <c r="F10">
        <f>_xlfn.PERCENTILE.INC(A2:A29,0.9)</f>
        <v>45.400000000000006</v>
      </c>
      <c r="G10">
        <v>90</v>
      </c>
    </row>
    <row r="11" spans="1:10" x14ac:dyDescent="0.3">
      <c r="A11">
        <v>22</v>
      </c>
      <c r="C11" t="s">
        <v>12</v>
      </c>
      <c r="D11">
        <v>1.2457565432455688</v>
      </c>
      <c r="F11">
        <f>_xlfn.PERCENTILE.INC(A2:A29,1)</f>
        <v>70</v>
      </c>
      <c r="G11">
        <v>100</v>
      </c>
    </row>
    <row r="12" spans="1:10" x14ac:dyDescent="0.3">
      <c r="A12">
        <v>25</v>
      </c>
      <c r="C12" t="s">
        <v>13</v>
      </c>
      <c r="D12">
        <v>57</v>
      </c>
    </row>
    <row r="13" spans="1:10" x14ac:dyDescent="0.3">
      <c r="A13">
        <v>25</v>
      </c>
      <c r="C13" t="s">
        <v>14</v>
      </c>
      <c r="D13">
        <v>13</v>
      </c>
    </row>
    <row r="14" spans="1:10" x14ac:dyDescent="0.3">
      <c r="A14">
        <v>25</v>
      </c>
      <c r="C14" t="s">
        <v>15</v>
      </c>
      <c r="D14">
        <v>70</v>
      </c>
    </row>
    <row r="15" spans="1:10" x14ac:dyDescent="0.3">
      <c r="A15">
        <v>25</v>
      </c>
      <c r="C15" t="s">
        <v>16</v>
      </c>
      <c r="D15">
        <v>809</v>
      </c>
    </row>
    <row r="16" spans="1:10" ht="15" thickBot="1" x14ac:dyDescent="0.35">
      <c r="A16">
        <v>30</v>
      </c>
      <c r="C16" s="2" t="s">
        <v>17</v>
      </c>
      <c r="D16" s="2">
        <v>27</v>
      </c>
    </row>
    <row r="17" spans="1:1" x14ac:dyDescent="0.3">
      <c r="A17">
        <v>33</v>
      </c>
    </row>
    <row r="18" spans="1:1" x14ac:dyDescent="0.3">
      <c r="A18">
        <v>33</v>
      </c>
    </row>
    <row r="19" spans="1:1" x14ac:dyDescent="0.3">
      <c r="A19">
        <v>35</v>
      </c>
    </row>
    <row r="20" spans="1:1" x14ac:dyDescent="0.3">
      <c r="A20">
        <v>35</v>
      </c>
    </row>
    <row r="21" spans="1:1" x14ac:dyDescent="0.3">
      <c r="A21">
        <v>35</v>
      </c>
    </row>
    <row r="22" spans="1:1" x14ac:dyDescent="0.3">
      <c r="A22">
        <v>35</v>
      </c>
    </row>
    <row r="23" spans="1:1" x14ac:dyDescent="0.3">
      <c r="A23">
        <v>36</v>
      </c>
    </row>
    <row r="24" spans="1:1" x14ac:dyDescent="0.3">
      <c r="A24">
        <v>40</v>
      </c>
    </row>
    <row r="25" spans="1:1" x14ac:dyDescent="0.3">
      <c r="A25">
        <v>45</v>
      </c>
    </row>
    <row r="26" spans="1:1" x14ac:dyDescent="0.3">
      <c r="A26">
        <v>46</v>
      </c>
    </row>
    <row r="27" spans="1:1" x14ac:dyDescent="0.3">
      <c r="A27">
        <v>52</v>
      </c>
    </row>
    <row r="28" spans="1:1" x14ac:dyDescent="0.3">
      <c r="A28">
        <v>70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77D420-321F-4BE4-B848-579B80A646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Raut</dc:creator>
  <cp:lastModifiedBy>Anand Raut</cp:lastModifiedBy>
  <dcterms:created xsi:type="dcterms:W3CDTF">2026-02-26T06:34:15Z</dcterms:created>
  <dcterms:modified xsi:type="dcterms:W3CDTF">2026-02-26T08:00:58Z</dcterms:modified>
</cp:coreProperties>
</file>